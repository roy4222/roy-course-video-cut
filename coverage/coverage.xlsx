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蓋率摘要" sheetId="1" state="visible" r:id="rId1"/>
    <sheet xmlns:r="http://schemas.openxmlformats.org/officeDocument/2006/relationships" name="覆蓋檢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0" customWidth="1" min="3" max="3"/>
  </cols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說明</t>
        </is>
      </c>
    </row>
    <row r="2">
      <c r="A2" t="inlineStr">
        <is>
          <t>講義總頁數（PART00–03）</t>
        </is>
      </c>
      <c r="B2">
        <f>SUM(覆蓋檢查!H2:H84)</f>
        <v/>
      </c>
      <c r="C2" t="inlineStr">
        <is>
          <t>32 + 91 + 144 + 244 = 511</t>
        </is>
      </c>
    </row>
    <row r="3">
      <c r="A3" t="inlineStr">
        <is>
          <t>主題列數</t>
        </is>
      </c>
      <c r="B3">
        <f>COUNTA(覆蓋檢查!C2:C84)</f>
        <v/>
      </c>
      <c r="C3" t="inlineStr"/>
    </row>
    <row r="4">
      <c r="A4" t="inlineStr">
        <is>
          <t>原規劃未涵蓋的頁數</t>
        </is>
      </c>
      <c r="B4">
        <f>SUMIF(覆蓋檢查!G2:G84,"未涵蓋",覆蓋檢查!H2:H84)</f>
        <v/>
      </c>
      <c r="C4" t="inlineStr">
        <is>
          <t>修正前</t>
        </is>
      </c>
    </row>
    <row r="5">
      <c r="A5" t="inlineStr">
        <is>
          <t>原規劃覆蓋率（依頁數）</t>
        </is>
      </c>
      <c r="B5" s="2">
        <f>1-B4/B2</f>
        <v/>
      </c>
      <c r="C5" t="inlineStr">
        <is>
          <t>修正前</t>
        </is>
      </c>
    </row>
    <row r="6">
      <c r="A6" t="inlineStr">
        <is>
          <t>目前規劃未排入集數的列數</t>
        </is>
      </c>
      <c r="B6">
        <f>COUNTIF(覆蓋檢查!D2:D84,"")</f>
        <v/>
      </c>
      <c r="C6" t="inlineStr">
        <is>
          <t>修正後（每列都有集數＝0）</t>
        </is>
      </c>
    </row>
    <row r="7">
      <c r="A7" t="inlineStr">
        <is>
          <t>目前規劃覆蓋率（依頁數）</t>
        </is>
      </c>
      <c r="B7" s="2">
        <f>1-SUMPRODUCT((覆蓋檢查!D2:D84="")*覆蓋檢查!H2:H84)/B2</f>
        <v/>
      </c>
      <c r="C7" t="inlineStr">
        <is>
          <t>修正後</t>
        </is>
      </c>
    </row>
    <row r="8">
      <c r="A8" t="inlineStr">
        <is>
          <t>影片已做的頁數（已做＋部分已做）</t>
        </is>
      </c>
      <c r="B8">
        <f>SUMIF(覆蓋檢查!E2:E84,"已做",覆蓋檢查!H2:H84)+SUMIF(覆蓋檢查!E2:E84,"部分已做",覆蓋檢查!H2:H84)</f>
        <v/>
      </c>
      <c r="C8" t="inlineStr">
        <is>
          <t>部分已做＝EP01 先概略介紹，完整版在後面集數</t>
        </is>
      </c>
    </row>
    <row r="9">
      <c r="A9" t="inlineStr">
        <is>
          <t>製作進度（依頁數，已做）</t>
        </is>
      </c>
      <c r="B9" s="2">
        <f>SUMIF(覆蓋檢查!E2:E84,"已做",覆蓋檢查!H2:H84)/B2</f>
        <v/>
      </c>
      <c r="C9" t="inlineStr">
        <is>
          <t>只算完整做完的</t>
        </is>
      </c>
    </row>
    <row r="10">
      <c r="A10" t="inlineStr"/>
      <c r="C10" t="inlineStr"/>
    </row>
    <row r="11">
      <c r="A11" t="inlineStr">
        <is>
          <t>怎麼用</t>
        </is>
      </c>
      <c r="B11" t="inlineStr"/>
      <c r="C11" t="inlineStr">
        <is>
          <t>做完一集：把該集所有列的「狀態」改成「已做」。看到任何「規劃集數」空白或「原規劃＝未涵蓋」的列，就代表要補進某一集。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60" customWidth="1" min="3" max="3"/>
    <col width="14" customWidth="1" min="4" max="4"/>
    <col width="10" customWidth="1" min="5" max="5"/>
    <col width="46" customWidth="1" min="6" max="6"/>
    <col width="10" customWidth="1" min="7" max="7"/>
    <col width="7" customWidth="1" min="8" max="8"/>
  </cols>
  <sheetData>
    <row r="1">
      <c r="A1" s="3" t="inlineStr">
        <is>
          <t>Part</t>
        </is>
      </c>
      <c r="B1" s="3" t="inlineStr">
        <is>
          <t>投影片</t>
        </is>
      </c>
      <c r="C1" s="3" t="inlineStr">
        <is>
          <t>主題</t>
        </is>
      </c>
      <c r="D1" s="3" t="inlineStr">
        <is>
          <t>規劃集數</t>
        </is>
      </c>
      <c r="E1" s="3" t="inlineStr">
        <is>
          <t>狀態</t>
        </is>
      </c>
      <c r="F1" s="3" t="inlineStr">
        <is>
          <t>備註</t>
        </is>
      </c>
      <c r="G1" s="3" t="inlineStr">
        <is>
          <t>原規劃</t>
        </is>
      </c>
      <c r="H1" s="3" t="inlineStr">
        <is>
          <t>頁數</t>
        </is>
      </c>
    </row>
    <row r="2">
      <c r="A2" s="4" t="inlineStr">
        <is>
          <t>PART00</t>
        </is>
      </c>
      <c r="B2" s="4" t="inlineStr">
        <is>
          <t>p1–3</t>
        </is>
      </c>
      <c r="C2" s="4" t="inlineStr">
        <is>
          <t>課程封面、聯絡方式、教師介紹</t>
        </is>
      </c>
      <c r="D2" s="4" t="inlineStr">
        <is>
          <t>EP00</t>
        </is>
      </c>
      <c r="E2" s="5" t="inlineStr">
        <is>
          <t>未做</t>
        </is>
      </c>
      <c r="F2" s="4" t="inlineStr">
        <is>
          <t>行政資訊，EP00 帶過</t>
        </is>
      </c>
      <c r="G2" s="6" t="inlineStr">
        <is>
          <t>未涵蓋</t>
        </is>
      </c>
      <c r="H2" s="4" t="n">
        <v>3</v>
      </c>
    </row>
    <row r="3">
      <c r="A3" s="4" t="inlineStr">
        <is>
          <t>PART00</t>
        </is>
      </c>
      <c r="B3" s="4" t="inlineStr">
        <is>
          <t>p4–6</t>
        </is>
      </c>
      <c r="C3" s="4" t="inlineStr">
        <is>
          <t>課前影片（AI 浪潮、資料科學家）</t>
        </is>
      </c>
      <c r="D3" s="4" t="inlineStr">
        <is>
          <t>EP00</t>
        </is>
      </c>
      <c r="E3" s="5" t="inlineStr">
        <is>
          <t>未做</t>
        </is>
      </c>
      <c r="F3" s="4" t="inlineStr">
        <is>
          <t>影片連結，EP00 只點出觀念</t>
        </is>
      </c>
      <c r="G3" s="6" t="inlineStr">
        <is>
          <t>未涵蓋</t>
        </is>
      </c>
      <c r="H3" s="4" t="n">
        <v>3</v>
      </c>
    </row>
    <row r="4">
      <c r="A4" s="4" t="inlineStr">
        <is>
          <t>PART00</t>
        </is>
      </c>
      <c r="B4" s="4" t="inlineStr">
        <is>
          <t>p7–23</t>
        </is>
      </c>
      <c r="C4" s="4" t="inlineStr">
        <is>
          <t>資料科學職稱演進、混合／整合職缺、ML Engineer、MLOps、人力市場</t>
        </is>
      </c>
      <c r="D4" s="4" t="inlineStr">
        <is>
          <t>EP00</t>
        </is>
      </c>
      <c r="E4" s="5" t="inlineStr">
        <is>
          <t>未做</t>
        </is>
      </c>
      <c r="F4" s="4" t="inlineStr"/>
      <c r="G4" s="6" t="inlineStr">
        <is>
          <t>未涵蓋</t>
        </is>
      </c>
      <c r="H4" s="4" t="n">
        <v>17</v>
      </c>
    </row>
    <row r="5">
      <c r="A5" s="4" t="inlineStr">
        <is>
          <t>PART00</t>
        </is>
      </c>
      <c r="B5" s="4" t="inlineStr">
        <is>
          <t>p24–25</t>
        </is>
      </c>
      <c r="C5" s="4" t="inlineStr">
        <is>
          <t>課程進度表（16 週）</t>
        </is>
      </c>
      <c r="D5" s="4" t="inlineStr">
        <is>
          <t>EP00</t>
        </is>
      </c>
      <c r="E5" s="5" t="inlineStr">
        <is>
          <t>未做</t>
        </is>
      </c>
      <c r="F5" s="4" t="inlineStr"/>
      <c r="G5" s="6" t="inlineStr">
        <is>
          <t>未涵蓋</t>
        </is>
      </c>
      <c r="H5" s="4" t="n">
        <v>2</v>
      </c>
    </row>
    <row r="6">
      <c r="A6" s="4" t="inlineStr">
        <is>
          <t>PART00</t>
        </is>
      </c>
      <c r="B6" s="4" t="inlineStr">
        <is>
          <t>p26–27</t>
        </is>
      </c>
      <c r="C6" s="4" t="inlineStr">
        <is>
          <t>教材、參考書與期刊</t>
        </is>
      </c>
      <c r="D6" s="4" t="inlineStr">
        <is>
          <t>EP00</t>
        </is>
      </c>
      <c r="E6" s="5" t="inlineStr">
        <is>
          <t>未做</t>
        </is>
      </c>
      <c r="F6" s="4" t="inlineStr"/>
      <c r="G6" s="6" t="inlineStr">
        <is>
          <t>未涵蓋</t>
        </is>
      </c>
      <c r="H6" s="4" t="n">
        <v>2</v>
      </c>
    </row>
    <row r="7">
      <c r="A7" s="4" t="inlineStr">
        <is>
          <t>PART00</t>
        </is>
      </c>
      <c r="B7" s="4" t="inlineStr">
        <is>
          <t>p28–30</t>
        </is>
      </c>
      <c r="C7" s="4" t="inlineStr">
        <is>
          <t>評分方式、期末專題要求、注意事項</t>
        </is>
      </c>
      <c r="D7" s="4" t="inlineStr">
        <is>
          <t>EP00</t>
        </is>
      </c>
      <c r="E7" s="5" t="inlineStr">
        <is>
          <t>未做</t>
        </is>
      </c>
      <c r="F7" s="4" t="inlineStr">
        <is>
          <t>作業 50%、期中＋期末專題 40%、參與 10%</t>
        </is>
      </c>
      <c r="G7" s="6" t="inlineStr">
        <is>
          <t>未涵蓋</t>
        </is>
      </c>
      <c r="H7" s="4" t="n">
        <v>3</v>
      </c>
    </row>
    <row r="8">
      <c r="A8" s="4" t="inlineStr">
        <is>
          <t>PART00</t>
        </is>
      </c>
      <c r="B8" s="4" t="inlineStr">
        <is>
          <t>p31–32</t>
        </is>
      </c>
      <c r="C8" s="4" t="inlineStr">
        <is>
          <t>延伸影片（手搖飲 AI）、Q&amp;A</t>
        </is>
      </c>
      <c r="D8" s="4" t="inlineStr">
        <is>
          <t>EP00</t>
        </is>
      </c>
      <c r="E8" s="5" t="inlineStr">
        <is>
          <t>未做</t>
        </is>
      </c>
      <c r="F8" s="4" t="inlineStr"/>
      <c r="G8" s="6" t="inlineStr">
        <is>
          <t>未涵蓋</t>
        </is>
      </c>
      <c r="H8" s="4" t="n">
        <v>2</v>
      </c>
    </row>
    <row r="9">
      <c r="A9" s="4" t="inlineStr">
        <is>
          <t>PART01</t>
        </is>
      </c>
      <c r="B9" s="4" t="inlineStr">
        <is>
          <t>p1</t>
        </is>
      </c>
      <c r="C9" s="4" t="inlineStr">
        <is>
          <t>封面</t>
        </is>
      </c>
      <c r="D9" s="4" t="inlineStr">
        <is>
          <t>EP02</t>
        </is>
      </c>
      <c r="E9" s="5" t="inlineStr">
        <is>
          <t>未做</t>
        </is>
      </c>
      <c r="F9" s="4" t="inlineStr"/>
      <c r="G9" s="4" t="inlineStr">
        <is>
          <t>EP02</t>
        </is>
      </c>
      <c r="H9" s="4" t="n">
        <v>1</v>
      </c>
    </row>
    <row r="10">
      <c r="A10" s="4" t="inlineStr">
        <is>
          <t>PART01</t>
        </is>
      </c>
      <c r="B10" s="4" t="inlineStr">
        <is>
          <t>p2–4</t>
        </is>
      </c>
      <c r="C10" s="4" t="inlineStr">
        <is>
          <t>資料科學領域、KDD 流程</t>
        </is>
      </c>
      <c r="D10" s="4" t="inlineStr">
        <is>
          <t>EP02</t>
        </is>
      </c>
      <c r="E10" s="5" t="inlineStr">
        <is>
          <t>未做</t>
        </is>
      </c>
      <c r="F10" s="4" t="inlineStr"/>
      <c r="G10" s="4" t="inlineStr">
        <is>
          <t>EP02</t>
        </is>
      </c>
      <c r="H10" s="4" t="n">
        <v>3</v>
      </c>
    </row>
    <row r="11">
      <c r="A11" s="4" t="inlineStr">
        <is>
          <t>PART01</t>
        </is>
      </c>
      <c r="B11" s="4" t="inlineStr">
        <is>
          <t>p5–7</t>
        </is>
      </c>
      <c r="C11" s="4" t="inlineStr">
        <is>
          <t>什麼是機器學習、為什麼重要</t>
        </is>
      </c>
      <c r="D11" s="4" t="inlineStr">
        <is>
          <t>EP01</t>
        </is>
      </c>
      <c r="E11" s="7" t="inlineStr">
        <is>
          <t>已做</t>
        </is>
      </c>
      <c r="F11" s="4" t="inlineStr"/>
      <c r="G11" s="4" t="inlineStr">
        <is>
          <t>EP01</t>
        </is>
      </c>
      <c r="H11" s="4" t="n">
        <v>3</v>
      </c>
    </row>
    <row r="12">
      <c r="A12" s="4" t="inlineStr">
        <is>
          <t>PART01</t>
        </is>
      </c>
      <c r="B12" s="4" t="inlineStr">
        <is>
          <t>p8–11</t>
        </is>
      </c>
      <c r="C12" s="4" t="inlineStr">
        <is>
          <t>推動 ML 發展的挑戰（規模、高維、異質資料、資料分散、分布漂移）</t>
        </is>
      </c>
      <c r="D12" s="4" t="inlineStr">
        <is>
          <t>EP02</t>
        </is>
      </c>
      <c r="E12" s="5" t="inlineStr">
        <is>
          <t>未做</t>
        </is>
      </c>
      <c r="F12" s="4" t="inlineStr">
        <is>
          <t>原規劃頁碼含在 EP02 範圍內，但概念清單沒列 → 已補進 EP02</t>
        </is>
      </c>
      <c r="G12" s="6" t="inlineStr">
        <is>
          <t>未涵蓋</t>
        </is>
      </c>
      <c r="H12" s="4" t="n">
        <v>4</v>
      </c>
    </row>
    <row r="13">
      <c r="A13" s="4" t="inlineStr">
        <is>
          <t>PART01</t>
        </is>
      </c>
      <c r="B13" s="4" t="inlineStr">
        <is>
          <t>p12–16</t>
        </is>
      </c>
      <c r="C13" s="4" t="inlineStr">
        <is>
          <t>資料探勘起源、DM vs ML</t>
        </is>
      </c>
      <c r="D13" s="4" t="inlineStr">
        <is>
          <t>EP02</t>
        </is>
      </c>
      <c r="E13" s="5" t="inlineStr">
        <is>
          <t>未做</t>
        </is>
      </c>
      <c r="F13" s="4" t="inlineStr"/>
      <c r="G13" s="4" t="inlineStr">
        <is>
          <t>EP02</t>
        </is>
      </c>
      <c r="H13" s="4" t="n">
        <v>5</v>
      </c>
    </row>
    <row r="14">
      <c r="A14" s="4" t="inlineStr">
        <is>
          <t>PART01</t>
        </is>
      </c>
      <c r="B14" s="4" t="inlineStr">
        <is>
          <t>p17–26</t>
        </is>
      </c>
      <c r="C14" s="4" t="inlineStr">
        <is>
          <t>AI vs ML vs DL（演進、關係、Big data、神經網路、AI 分類）</t>
        </is>
      </c>
      <c r="D14" s="4" t="inlineStr">
        <is>
          <t>EP02</t>
        </is>
      </c>
      <c r="E14" s="5" t="inlineStr">
        <is>
          <t>未做</t>
        </is>
      </c>
      <c r="F14" s="4" t="inlineStr"/>
      <c r="G14" s="4" t="inlineStr">
        <is>
          <t>EP02</t>
        </is>
      </c>
      <c r="H14" s="4" t="n">
        <v>10</v>
      </c>
    </row>
    <row r="15">
      <c r="A15" s="4" t="inlineStr">
        <is>
          <t>PART01</t>
        </is>
      </c>
      <c r="B15" s="4" t="inlineStr">
        <is>
          <t>p27–32</t>
        </is>
      </c>
      <c r="C15" s="4" t="inlineStr">
        <is>
          <t>機器學習的類型總覽</t>
        </is>
      </c>
      <c r="D15" s="4" t="inlineStr">
        <is>
          <t>EP01／EP03</t>
        </is>
      </c>
      <c r="E15" s="8" t="inlineStr">
        <is>
          <t>部分已做</t>
        </is>
      </c>
      <c r="F15" s="4" t="inlineStr">
        <is>
          <t>EP01 概略介紹，EP03 完整講</t>
        </is>
      </c>
      <c r="G15" s="4" t="inlineStr">
        <is>
          <t>EP01</t>
        </is>
      </c>
      <c r="H15" s="4" t="n">
        <v>6</v>
      </c>
    </row>
    <row r="16">
      <c r="A16" s="4" t="inlineStr">
        <is>
          <t>PART01</t>
        </is>
      </c>
      <c r="B16" s="4" t="inlineStr">
        <is>
          <t>p33–37</t>
        </is>
      </c>
      <c r="C16" s="4" t="inlineStr">
        <is>
          <t>監督式學習、Find the Bug</t>
        </is>
      </c>
      <c r="D16" s="4" t="inlineStr">
        <is>
          <t>EP01／EP03</t>
        </is>
      </c>
      <c r="E16" s="8" t="inlineStr">
        <is>
          <t>部分已做</t>
        </is>
      </c>
      <c r="F16" s="4" t="inlineStr">
        <is>
          <t>EP01 概略介紹，EP03 完整講</t>
        </is>
      </c>
      <c r="G16" s="4" t="inlineStr">
        <is>
          <t>EP01</t>
        </is>
      </c>
      <c r="H16" s="4" t="n">
        <v>5</v>
      </c>
    </row>
    <row r="17">
      <c r="A17" s="4" t="inlineStr">
        <is>
          <t>PART01</t>
        </is>
      </c>
      <c r="B17" s="4" t="inlineStr">
        <is>
          <t>p38–42</t>
        </is>
      </c>
      <c r="C17" s="4" t="inlineStr">
        <is>
          <t>非監督式學習、監督 vs 非監督</t>
        </is>
      </c>
      <c r="D17" s="4" t="inlineStr">
        <is>
          <t>EP01／EP03</t>
        </is>
      </c>
      <c r="E17" s="8" t="inlineStr">
        <is>
          <t>部分已做</t>
        </is>
      </c>
      <c r="F17" s="4" t="inlineStr">
        <is>
          <t>EP01 概略介紹，EP03 完整講</t>
        </is>
      </c>
      <c r="G17" s="4" t="inlineStr">
        <is>
          <t>EP01</t>
        </is>
      </c>
      <c r="H17" s="4" t="n">
        <v>5</v>
      </c>
    </row>
    <row r="18">
      <c r="A18" s="4" t="inlineStr">
        <is>
          <t>PART01</t>
        </is>
      </c>
      <c r="B18" s="4" t="inlineStr">
        <is>
          <t>p43–50</t>
        </is>
      </c>
      <c r="C18" s="4" t="inlineStr">
        <is>
          <t>強化學習</t>
        </is>
      </c>
      <c r="D18" s="4" t="inlineStr">
        <is>
          <t>EP01／EP03</t>
        </is>
      </c>
      <c r="E18" s="8" t="inlineStr">
        <is>
          <t>部分已做</t>
        </is>
      </c>
      <c r="F18" s="4" t="inlineStr">
        <is>
          <t>EP01 概略介紹，EP03 完整講</t>
        </is>
      </c>
      <c r="G18" s="4" t="inlineStr">
        <is>
          <t>EP01</t>
        </is>
      </c>
      <c r="H18" s="4" t="n">
        <v>8</v>
      </c>
    </row>
    <row r="19">
      <c r="A19" s="4" t="inlineStr">
        <is>
          <t>PART01</t>
        </is>
      </c>
      <c r="B19" s="4" t="inlineStr">
        <is>
          <t>p51–59</t>
        </is>
      </c>
      <c r="C19" s="4" t="inlineStr">
        <is>
          <t>半監督式學習、Teacher–Student</t>
        </is>
      </c>
      <c r="D19" s="4" t="inlineStr">
        <is>
          <t>EP03</t>
        </is>
      </c>
      <c r="E19" s="5" t="inlineStr">
        <is>
          <t>未做</t>
        </is>
      </c>
      <c r="F19" s="4" t="inlineStr"/>
      <c r="G19" s="4" t="inlineStr">
        <is>
          <t>EP03</t>
        </is>
      </c>
      <c r="H19" s="4" t="n">
        <v>9</v>
      </c>
    </row>
    <row r="20">
      <c r="A20" s="4" t="inlineStr">
        <is>
          <t>PART01</t>
        </is>
      </c>
      <c r="B20" s="4" t="inlineStr">
        <is>
          <t>p60–66</t>
        </is>
      </c>
      <c r="C20" s="4" t="inlineStr">
        <is>
          <t>自監督式學習（定義、遮罩與自迴歸、流程）</t>
        </is>
      </c>
      <c r="D20" s="4" t="inlineStr">
        <is>
          <t>EP03</t>
        </is>
      </c>
      <c r="E20" s="5" t="inlineStr">
        <is>
          <t>未做</t>
        </is>
      </c>
      <c r="F20" s="4" t="inlineStr"/>
      <c r="G20" s="4" t="inlineStr">
        <is>
          <t>EP03</t>
        </is>
      </c>
      <c r="H20" s="4" t="n">
        <v>7</v>
      </c>
    </row>
    <row r="21">
      <c r="A21" s="4" t="inlineStr">
        <is>
          <t>PART01</t>
        </is>
      </c>
      <c r="B21" s="4" t="inlineStr">
        <is>
          <t>p67–68</t>
        </is>
      </c>
      <c r="C21" s="4" t="inlineStr">
        <is>
          <t>自監督學習的風險、品質控制、應用與總整理</t>
        </is>
      </c>
      <c r="D21" s="4" t="inlineStr">
        <is>
          <t>EP03</t>
        </is>
      </c>
      <c r="E21" s="5" t="inlineStr">
        <is>
          <t>未做</t>
        </is>
      </c>
      <c r="F21" s="4" t="inlineStr">
        <is>
          <t>原規劃頁碼停在 p66 → 已補進 EP03</t>
        </is>
      </c>
      <c r="G21" s="6" t="inlineStr">
        <is>
          <t>未涵蓋</t>
        </is>
      </c>
      <c r="H21" s="4" t="n">
        <v>2</v>
      </c>
    </row>
    <row r="22">
      <c r="A22" s="4" t="inlineStr">
        <is>
          <t>PART01</t>
        </is>
      </c>
      <c r="B22" s="4" t="inlineStr">
        <is>
          <t>p69–81</t>
        </is>
      </c>
      <c r="C22" s="4" t="inlineStr">
        <is>
          <t>演算法速查表、監督／半監督分類法、ML 與 DL 演算法、資料量與方法</t>
        </is>
      </c>
      <c r="D22" s="4" t="inlineStr">
        <is>
          <t>EP04</t>
        </is>
      </c>
      <c r="E22" s="5" t="inlineStr">
        <is>
          <t>未做</t>
        </is>
      </c>
      <c r="F22" s="4" t="inlineStr"/>
      <c r="G22" s="4" t="inlineStr">
        <is>
          <t>EP04</t>
        </is>
      </c>
      <c r="H22" s="4" t="n">
        <v>13</v>
      </c>
    </row>
    <row r="23">
      <c r="A23" s="4" t="inlineStr">
        <is>
          <t>PART01</t>
        </is>
      </c>
      <c r="B23" s="4" t="inlineStr">
        <is>
          <t>p82</t>
        </is>
      </c>
      <c r="C23" s="4" t="inlineStr">
        <is>
          <t>ML 任務：預測 vs 描述、target／explanatory variable</t>
        </is>
      </c>
      <c r="D23" s="4" t="inlineStr">
        <is>
          <t>EP01／EP04</t>
        </is>
      </c>
      <c r="E23" s="8" t="inlineStr">
        <is>
          <t>部分已做</t>
        </is>
      </c>
      <c r="F23" s="4" t="inlineStr">
        <is>
          <t>EP01 用過 target 概念，EP04 完整講</t>
        </is>
      </c>
      <c r="G23" s="4" t="inlineStr">
        <is>
          <t>EP01</t>
        </is>
      </c>
      <c r="H23" s="4" t="n">
        <v>1</v>
      </c>
    </row>
    <row r="24">
      <c r="A24" s="4" t="inlineStr">
        <is>
          <t>PART01</t>
        </is>
      </c>
      <c r="B24" s="4" t="inlineStr">
        <is>
          <t>p83–91</t>
        </is>
      </c>
      <c r="C24" s="4" t="inlineStr">
        <is>
          <t>生成式 AI vs 鑑別式 AI、整合應用、AI 應用分類</t>
        </is>
      </c>
      <c r="D24" s="4" t="inlineStr">
        <is>
          <t>EP04</t>
        </is>
      </c>
      <c r="E24" s="5" t="inlineStr">
        <is>
          <t>未做</t>
        </is>
      </c>
      <c r="F24" s="4" t="inlineStr"/>
      <c r="G24" s="4" t="inlineStr">
        <is>
          <t>EP04</t>
        </is>
      </c>
      <c r="H24" s="4" t="n">
        <v>9</v>
      </c>
    </row>
    <row r="25">
      <c r="A25" s="4" t="inlineStr">
        <is>
          <t>PART02</t>
        </is>
      </c>
      <c r="B25" s="4" t="inlineStr">
        <is>
          <t>p1–6</t>
        </is>
      </c>
      <c r="C25" s="4" t="inlineStr">
        <is>
          <t>ML 生命週期、Steps of ML</t>
        </is>
      </c>
      <c r="D25" s="4" t="inlineStr">
        <is>
          <t>EP01／EP05</t>
        </is>
      </c>
      <c r="E25" s="8" t="inlineStr">
        <is>
          <t>部分已做</t>
        </is>
      </c>
      <c r="F25" s="4" t="inlineStr">
        <is>
          <t>EP01 用了 Steps of ML（p4）</t>
        </is>
      </c>
      <c r="G25" s="4" t="inlineStr">
        <is>
          <t>EP05</t>
        </is>
      </c>
      <c r="H25" s="4" t="n">
        <v>6</v>
      </c>
    </row>
    <row r="26">
      <c r="A26" s="4" t="inlineStr">
        <is>
          <t>PART02</t>
        </is>
      </c>
      <c r="B26" s="4" t="inlineStr">
        <is>
          <t>p7–10</t>
        </is>
      </c>
      <c r="C26" s="4" t="inlineStr">
        <is>
          <t>什麼是資料、物件與屬性</t>
        </is>
      </c>
      <c r="D26" s="4" t="inlineStr">
        <is>
          <t>EP01／EP05</t>
        </is>
      </c>
      <c r="E26" s="8" t="inlineStr">
        <is>
          <t>部分已做</t>
        </is>
      </c>
      <c r="F26" s="4" t="inlineStr">
        <is>
          <t>EP01 用了「資料／特徵」（p8）</t>
        </is>
      </c>
      <c r="G26" s="4" t="inlineStr">
        <is>
          <t>EP05</t>
        </is>
      </c>
      <c r="H26" s="4" t="n">
        <v>4</v>
      </c>
    </row>
    <row r="27">
      <c r="A27" s="4" t="inlineStr">
        <is>
          <t>PART02</t>
        </is>
      </c>
      <c r="B27" s="4" t="inlineStr">
        <is>
          <t>p11–13</t>
        </is>
      </c>
      <c r="C27" s="4" t="inlineStr">
        <is>
          <t>屬性型態</t>
        </is>
      </c>
      <c r="D27" s="4" t="inlineStr">
        <is>
          <t>EP05</t>
        </is>
      </c>
      <c r="E27" s="5" t="inlineStr">
        <is>
          <t>未做</t>
        </is>
      </c>
      <c r="F27" s="4" t="inlineStr"/>
      <c r="G27" s="4" t="inlineStr">
        <is>
          <t>EP05</t>
        </is>
      </c>
      <c r="H27" s="4" t="n">
        <v>3</v>
      </c>
    </row>
    <row r="28">
      <c r="A28" s="4" t="inlineStr">
        <is>
          <t>PART02</t>
        </is>
      </c>
      <c r="B28" s="4" t="inlineStr">
        <is>
          <t>p14–29</t>
        </is>
      </c>
      <c r="C28" s="4" t="inlineStr">
        <is>
          <t>資料集類型（紀錄、稀疏、交易、圖形、序列、時間序列、空間）</t>
        </is>
      </c>
      <c r="D28" s="4" t="inlineStr">
        <is>
          <t>EP05</t>
        </is>
      </c>
      <c r="E28" s="5" t="inlineStr">
        <is>
          <t>未做</t>
        </is>
      </c>
      <c r="F28" s="4" t="inlineStr"/>
      <c r="G28" s="4" t="inlineStr">
        <is>
          <t>EP05</t>
        </is>
      </c>
      <c r="H28" s="4" t="n">
        <v>16</v>
      </c>
    </row>
    <row r="29">
      <c r="A29" s="4" t="inlineStr">
        <is>
          <t>PART02</t>
        </is>
      </c>
      <c r="B29" s="4" t="inlineStr">
        <is>
          <t>p30–32</t>
        </is>
      </c>
      <c r="C29" s="4" t="inlineStr">
        <is>
          <t>資料集三特性（維度、解析度、分布）</t>
        </is>
      </c>
      <c r="D29" s="4" t="inlineStr">
        <is>
          <t>EP05</t>
        </is>
      </c>
      <c r="E29" s="5" t="inlineStr">
        <is>
          <t>未做</t>
        </is>
      </c>
      <c r="F29" s="4" t="inlineStr"/>
      <c r="G29" s="4" t="inlineStr">
        <is>
          <t>EP05</t>
        </is>
      </c>
      <c r="H29" s="4" t="n">
        <v>3</v>
      </c>
    </row>
    <row r="30">
      <c r="A30" s="4" t="inlineStr">
        <is>
          <t>PART02</t>
        </is>
      </c>
      <c r="B30" s="4" t="inlineStr">
        <is>
          <t>p33–37</t>
        </is>
      </c>
      <c r="C30" s="4" t="inlineStr">
        <is>
          <t>量尺（名目、順序、區間、比率）、不對稱屬性</t>
        </is>
      </c>
      <c r="D30" s="4" t="inlineStr">
        <is>
          <t>EP05</t>
        </is>
      </c>
      <c r="E30" s="5" t="inlineStr">
        <is>
          <t>未做</t>
        </is>
      </c>
      <c r="F30" s="4" t="inlineStr"/>
      <c r="G30" s="4" t="inlineStr">
        <is>
          <t>EP05</t>
        </is>
      </c>
      <c r="H30" s="4" t="n">
        <v>5</v>
      </c>
    </row>
    <row r="31">
      <c r="A31" s="4" t="inlineStr">
        <is>
          <t>PART02</t>
        </is>
      </c>
      <c r="B31" s="4" t="inlineStr">
        <is>
          <t>p38–45</t>
        </is>
      </c>
      <c r="C31" s="4" t="inlineStr">
        <is>
          <t>探索式資料分析 EDA</t>
        </is>
      </c>
      <c r="D31" s="4" t="inlineStr">
        <is>
          <t>EP06</t>
        </is>
      </c>
      <c r="E31" s="5" t="inlineStr">
        <is>
          <t>未做</t>
        </is>
      </c>
      <c r="F31" s="4" t="inlineStr"/>
      <c r="G31" s="4" t="inlineStr">
        <is>
          <t>EP06</t>
        </is>
      </c>
      <c r="H31" s="4" t="n">
        <v>8</v>
      </c>
    </row>
    <row r="32">
      <c r="A32" s="4" t="inlineStr">
        <is>
          <t>PART02</t>
        </is>
      </c>
      <c r="B32" s="4" t="inlineStr">
        <is>
          <t>p46–56</t>
        </is>
      </c>
      <c r="C32" s="4" t="inlineStr">
        <is>
          <t>資料品質、量測品質（bias／precision）</t>
        </is>
      </c>
      <c r="D32" s="4" t="inlineStr">
        <is>
          <t>EP06</t>
        </is>
      </c>
      <c r="E32" s="5" t="inlineStr">
        <is>
          <t>未做</t>
        </is>
      </c>
      <c r="F32" s="4" t="inlineStr"/>
      <c r="G32" s="4" t="inlineStr">
        <is>
          <t>EP06</t>
        </is>
      </c>
      <c r="H32" s="4" t="n">
        <v>11</v>
      </c>
    </row>
    <row r="33">
      <c r="A33" s="4" t="inlineStr">
        <is>
          <t>PART02</t>
        </is>
      </c>
      <c r="B33" s="4" t="inlineStr">
        <is>
          <t>p57–61</t>
        </is>
      </c>
      <c r="C33" s="4" t="inlineStr">
        <is>
          <t>資料前處理步驟、先切分再前處理（資料洩漏）</t>
        </is>
      </c>
      <c r="D33" s="4" t="inlineStr">
        <is>
          <t>EP07</t>
        </is>
      </c>
      <c r="E33" s="5" t="inlineStr">
        <is>
          <t>未做</t>
        </is>
      </c>
      <c r="F33" s="4" t="inlineStr"/>
      <c r="G33" s="4" t="inlineStr">
        <is>
          <t>EP07</t>
        </is>
      </c>
      <c r="H33" s="4" t="n">
        <v>5</v>
      </c>
    </row>
    <row r="34">
      <c r="A34" s="4" t="inlineStr">
        <is>
          <t>PART02</t>
        </is>
      </c>
      <c r="B34" s="4" t="inlineStr">
        <is>
          <t>p62–66</t>
        </is>
      </c>
      <c r="C34" s="4" t="inlineStr">
        <is>
          <t>資料轉換：類別編碼、標準化／正規化</t>
        </is>
      </c>
      <c r="D34" s="4" t="inlineStr">
        <is>
          <t>EP07</t>
        </is>
      </c>
      <c r="E34" s="5" t="inlineStr">
        <is>
          <t>未做</t>
        </is>
      </c>
      <c r="F34" s="4" t="inlineStr"/>
      <c r="G34" s="4" t="inlineStr">
        <is>
          <t>EP07</t>
        </is>
      </c>
      <c r="H34" s="4" t="n">
        <v>5</v>
      </c>
    </row>
    <row r="35">
      <c r="A35" s="4" t="inlineStr">
        <is>
          <t>PART02</t>
        </is>
      </c>
      <c r="B35" s="4" t="inlineStr">
        <is>
          <t>p67–70</t>
        </is>
      </c>
      <c r="C35" s="4" t="inlineStr">
        <is>
          <t>彙總、抽樣</t>
        </is>
      </c>
      <c r="D35" s="4" t="inlineStr">
        <is>
          <t>EP07</t>
        </is>
      </c>
      <c r="E35" s="5" t="inlineStr">
        <is>
          <t>未做</t>
        </is>
      </c>
      <c r="F35" s="4" t="inlineStr"/>
      <c r="G35" s="4" t="inlineStr">
        <is>
          <t>EP07</t>
        </is>
      </c>
      <c r="H35" s="4" t="n">
        <v>4</v>
      </c>
    </row>
    <row r="36">
      <c r="A36" s="4" t="inlineStr">
        <is>
          <t>PART02</t>
        </is>
      </c>
      <c r="B36" s="4" t="inlineStr">
        <is>
          <t>p71–76</t>
        </is>
      </c>
      <c r="C36" s="4" t="inlineStr">
        <is>
          <t>離散化、二元化</t>
        </is>
      </c>
      <c r="D36" s="4" t="inlineStr">
        <is>
          <t>EP07</t>
        </is>
      </c>
      <c r="E36" s="5" t="inlineStr">
        <is>
          <t>未做</t>
        </is>
      </c>
      <c r="F36" s="4" t="inlineStr"/>
      <c r="G36" s="4" t="inlineStr">
        <is>
          <t>EP07</t>
        </is>
      </c>
      <c r="H36" s="4" t="n">
        <v>6</v>
      </c>
    </row>
    <row r="37">
      <c r="A37" s="4" t="inlineStr">
        <is>
          <t>PART02</t>
        </is>
      </c>
      <c r="B37" s="4" t="inlineStr">
        <is>
          <t>p77–80</t>
        </is>
      </c>
      <c r="C37" s="4" t="inlineStr">
        <is>
          <t>變數轉換、特徵建構</t>
        </is>
      </c>
      <c r="D37" s="4" t="inlineStr">
        <is>
          <t>EP07</t>
        </is>
      </c>
      <c r="E37" s="5" t="inlineStr">
        <is>
          <t>未做</t>
        </is>
      </c>
      <c r="F37" s="4" t="inlineStr"/>
      <c r="G37" s="4" t="inlineStr">
        <is>
          <t>EP07</t>
        </is>
      </c>
      <c r="H37" s="4" t="n">
        <v>4</v>
      </c>
    </row>
    <row r="38">
      <c r="A38" s="4" t="inlineStr">
        <is>
          <t>PART02</t>
        </is>
      </c>
      <c r="B38" s="4" t="inlineStr">
        <is>
          <t>p81–86</t>
        </is>
      </c>
      <c r="C38" s="4" t="inlineStr">
        <is>
          <t>特徵工程概念、降維、PCA</t>
        </is>
      </c>
      <c r="D38" s="4" t="inlineStr">
        <is>
          <t>EP08</t>
        </is>
      </c>
      <c r="E38" s="5" t="inlineStr">
        <is>
          <t>未做</t>
        </is>
      </c>
      <c r="F38" s="4" t="inlineStr"/>
      <c r="G38" s="4" t="inlineStr">
        <is>
          <t>EP08</t>
        </is>
      </c>
      <c r="H38" s="4" t="n">
        <v>6</v>
      </c>
    </row>
    <row r="39">
      <c r="A39" s="4" t="inlineStr">
        <is>
          <t>PART02</t>
        </is>
      </c>
      <c r="B39" s="4" t="inlineStr">
        <is>
          <t>p87–93</t>
        </is>
      </c>
      <c r="C39" s="4" t="inlineStr">
        <is>
          <t>特徵子集選擇：Filter／Wrapper／Embedded</t>
        </is>
      </c>
      <c r="D39" s="4" t="inlineStr">
        <is>
          <t>EP08</t>
        </is>
      </c>
      <c r="E39" s="5" t="inlineStr">
        <is>
          <t>未做</t>
        </is>
      </c>
      <c r="F39" s="4" t="inlineStr"/>
      <c r="G39" s="4" t="inlineStr">
        <is>
          <t>EP08</t>
        </is>
      </c>
      <c r="H39" s="4" t="n">
        <v>7</v>
      </c>
    </row>
    <row r="40">
      <c r="A40" s="4" t="inlineStr">
        <is>
          <t>PART02</t>
        </is>
      </c>
      <c r="B40" s="4" t="inlineStr">
        <is>
          <t>p94–97</t>
        </is>
      </c>
      <c r="C40" s="4" t="inlineStr">
        <is>
          <t>特徵創造、特徵萃取、轉到新空間（傅立葉）</t>
        </is>
      </c>
      <c r="D40" s="4" t="inlineStr">
        <is>
          <t>EP08</t>
        </is>
      </c>
      <c r="E40" s="5" t="inlineStr">
        <is>
          <t>未做</t>
        </is>
      </c>
      <c r="F40" s="4" t="inlineStr"/>
      <c r="G40" s="4" t="inlineStr">
        <is>
          <t>EP08</t>
        </is>
      </c>
      <c r="H40" s="4" t="n">
        <v>4</v>
      </c>
    </row>
    <row r="41">
      <c r="A41" s="4" t="inlineStr">
        <is>
          <t>PART02</t>
        </is>
      </c>
      <c r="B41" s="4" t="inlineStr">
        <is>
          <t>p98–102</t>
        </is>
      </c>
      <c r="C41" s="4" t="inlineStr">
        <is>
          <t>相似度與相異度</t>
        </is>
      </c>
      <c r="D41" s="4" t="inlineStr">
        <is>
          <t>EP09</t>
        </is>
      </c>
      <c r="E41" s="5" t="inlineStr">
        <is>
          <t>未做</t>
        </is>
      </c>
      <c r="F41" s="4" t="inlineStr"/>
      <c r="G41" s="4" t="inlineStr">
        <is>
          <t>EP09</t>
        </is>
      </c>
      <c r="H41" s="4" t="n">
        <v>5</v>
      </c>
    </row>
    <row r="42">
      <c r="A42" s="4" t="inlineStr">
        <is>
          <t>PART02</t>
        </is>
      </c>
      <c r="B42" s="4" t="inlineStr">
        <is>
          <t>p103–107</t>
        </is>
      </c>
      <c r="C42" s="4" t="inlineStr">
        <is>
          <t>歐氏距離、Minkowski 距離</t>
        </is>
      </c>
      <c r="D42" s="4" t="inlineStr">
        <is>
          <t>EP09</t>
        </is>
      </c>
      <c r="E42" s="5" t="inlineStr">
        <is>
          <t>未做</t>
        </is>
      </c>
      <c r="F42" s="4" t="inlineStr"/>
      <c r="G42" s="4" t="inlineStr">
        <is>
          <t>EP09</t>
        </is>
      </c>
      <c r="H42" s="4" t="n">
        <v>5</v>
      </c>
    </row>
    <row r="43">
      <c r="A43" s="4" t="inlineStr">
        <is>
          <t>PART02</t>
        </is>
      </c>
      <c r="B43" s="4" t="inlineStr">
        <is>
          <t>p108–109</t>
        </is>
      </c>
      <c r="C43" s="4" t="inlineStr">
        <is>
          <t>二元資料相似度（SMC、Jaccard）</t>
        </is>
      </c>
      <c r="D43" s="4" t="inlineStr">
        <is>
          <t>EP09</t>
        </is>
      </c>
      <c r="E43" s="5" t="inlineStr">
        <is>
          <t>未做</t>
        </is>
      </c>
      <c r="F43" s="4" t="inlineStr"/>
      <c r="G43" s="4" t="inlineStr">
        <is>
          <t>EP09</t>
        </is>
      </c>
      <c r="H43" s="4" t="n">
        <v>2</v>
      </c>
    </row>
    <row r="44">
      <c r="A44" s="4" t="inlineStr">
        <is>
          <t>PART02</t>
        </is>
      </c>
      <c r="B44" s="4" t="inlineStr">
        <is>
          <t>p110–115</t>
        </is>
      </c>
      <c r="C44" s="4" t="inlineStr">
        <is>
          <t>Cosine 相似度</t>
        </is>
      </c>
      <c r="D44" s="4" t="inlineStr">
        <is>
          <t>EP09</t>
        </is>
      </c>
      <c r="E44" s="5" t="inlineStr">
        <is>
          <t>未做</t>
        </is>
      </c>
      <c r="F44" s="4" t="inlineStr"/>
      <c r="G44" s="4" t="inlineStr">
        <is>
          <t>EP09</t>
        </is>
      </c>
      <c r="H44" s="4" t="n">
        <v>6</v>
      </c>
    </row>
    <row r="45">
      <c r="A45" s="4" t="inlineStr">
        <is>
          <t>PART02</t>
        </is>
      </c>
      <c r="B45" s="4" t="inlineStr">
        <is>
          <t>p116–118</t>
        </is>
      </c>
      <c r="C45" s="4" t="inlineStr">
        <is>
          <t>相關係數（線性 vs 非線性）</t>
        </is>
      </c>
      <c r="D45" s="4" t="inlineStr">
        <is>
          <t>EP09</t>
        </is>
      </c>
      <c r="E45" s="5" t="inlineStr">
        <is>
          <t>未做</t>
        </is>
      </c>
      <c r="F45" s="4" t="inlineStr"/>
      <c r="G45" s="4" t="inlineStr">
        <is>
          <t>EP09</t>
        </is>
      </c>
      <c r="H45" s="4" t="n">
        <v>3</v>
      </c>
    </row>
    <row r="46">
      <c r="A46" s="4" t="inlineStr">
        <is>
          <t>PART02</t>
        </is>
      </c>
      <c r="B46" s="4" t="inlineStr">
        <is>
          <t>p119–124</t>
        </is>
      </c>
      <c r="C46" s="4" t="inlineStr">
        <is>
          <t>Entropy</t>
        </is>
      </c>
      <c r="D46" s="4" t="inlineStr">
        <is>
          <t>EP09</t>
        </is>
      </c>
      <c r="E46" s="5" t="inlineStr">
        <is>
          <t>未做</t>
        </is>
      </c>
      <c r="F46" s="4" t="inlineStr"/>
      <c r="G46" s="4" t="inlineStr">
        <is>
          <t>EP09</t>
        </is>
      </c>
      <c r="H46" s="4" t="n">
        <v>6</v>
      </c>
    </row>
    <row r="47">
      <c r="A47" s="4" t="inlineStr">
        <is>
          <t>PART02</t>
        </is>
      </c>
      <c r="B47" s="4" t="inlineStr">
        <is>
          <t>p125–131</t>
        </is>
      </c>
      <c r="C47" s="4" t="inlineStr">
        <is>
          <t>Mutual Information</t>
        </is>
      </c>
      <c r="D47" s="4" t="inlineStr">
        <is>
          <t>EP09</t>
        </is>
      </c>
      <c r="E47" s="5" t="inlineStr">
        <is>
          <t>未做</t>
        </is>
      </c>
      <c r="F47" s="4" t="inlineStr"/>
      <c r="G47" s="4" t="inlineStr">
        <is>
          <t>EP09</t>
        </is>
      </c>
      <c r="H47" s="4" t="n">
        <v>7</v>
      </c>
    </row>
    <row r="48">
      <c r="A48" s="4" t="inlineStr">
        <is>
          <t>PART02</t>
        </is>
      </c>
      <c r="B48" s="4" t="inlineStr">
        <is>
          <t>p132–141</t>
        </is>
      </c>
      <c r="C48" s="4" t="inlineStr">
        <is>
          <t>如何選擇適合的相似度量測</t>
        </is>
      </c>
      <c r="D48" s="4" t="inlineStr">
        <is>
          <t>EP09</t>
        </is>
      </c>
      <c r="E48" s="5" t="inlineStr">
        <is>
          <t>未做</t>
        </is>
      </c>
      <c r="F48" s="4" t="inlineStr"/>
      <c r="G48" s="4" t="inlineStr">
        <is>
          <t>EP09</t>
        </is>
      </c>
      <c r="H48" s="4" t="n">
        <v>10</v>
      </c>
    </row>
    <row r="49">
      <c r="A49" s="4" t="inlineStr">
        <is>
          <t>PART02</t>
        </is>
      </c>
      <c r="B49" s="4" t="inlineStr">
        <is>
          <t>p142–144</t>
        </is>
      </c>
      <c r="C49" s="4" t="inlineStr">
        <is>
          <t>備註（此 Topic 無作業）、結尾</t>
        </is>
      </c>
      <c r="D49" s="4" t="inlineStr">
        <is>
          <t>EP09</t>
        </is>
      </c>
      <c r="E49" s="5" t="inlineStr">
        <is>
          <t>未做</t>
        </is>
      </c>
      <c r="F49" s="4" t="inlineStr"/>
      <c r="G49" s="4" t="inlineStr">
        <is>
          <t>EP09</t>
        </is>
      </c>
      <c r="H49" s="4" t="n">
        <v>3</v>
      </c>
    </row>
    <row r="50">
      <c r="A50" s="4" t="inlineStr">
        <is>
          <t>PART03</t>
        </is>
      </c>
      <c r="B50" s="4" t="inlineStr">
        <is>
          <t>p1–2</t>
        </is>
      </c>
      <c r="C50" s="4" t="inlineStr">
        <is>
          <t>封面、分類簡介</t>
        </is>
      </c>
      <c r="D50" s="4" t="inlineStr">
        <is>
          <t>EP10</t>
        </is>
      </c>
      <c r="E50" s="5" t="inlineStr">
        <is>
          <t>未做</t>
        </is>
      </c>
      <c r="F50" s="4" t="inlineStr"/>
      <c r="G50" s="4" t="inlineStr">
        <is>
          <t>EP10</t>
        </is>
      </c>
      <c r="H50" s="4" t="n">
        <v>2</v>
      </c>
    </row>
    <row r="51">
      <c r="A51" s="4" t="inlineStr">
        <is>
          <t>PART03</t>
        </is>
      </c>
      <c r="B51" s="4" t="inlineStr">
        <is>
          <t>p3–6</t>
        </is>
      </c>
      <c r="C51" s="4" t="inlineStr">
        <is>
          <t>基本概念 (x, y)、兩種任務</t>
        </is>
      </c>
      <c r="D51" s="4" t="inlineStr">
        <is>
          <t>EP01／EP10</t>
        </is>
      </c>
      <c r="E51" s="8" t="inlineStr">
        <is>
          <t>部分已做</t>
        </is>
      </c>
      <c r="F51" s="4" t="inlineStr">
        <is>
          <t>EP01 用過 (x, y) 概念</t>
        </is>
      </c>
      <c r="G51" s="4" t="inlineStr">
        <is>
          <t>EP10</t>
        </is>
      </c>
      <c r="H51" s="4" t="n">
        <v>4</v>
      </c>
    </row>
    <row r="52">
      <c r="A52" s="4" t="inlineStr">
        <is>
          <t>PART03</t>
        </is>
      </c>
      <c r="B52" s="4" t="inlineStr">
        <is>
          <t>p7–9</t>
        </is>
      </c>
      <c r="C52" s="4" t="inlineStr">
        <is>
          <t>一般框架：歸納、演繹、訓練集與測試集</t>
        </is>
      </c>
      <c r="D52" s="4" t="inlineStr">
        <is>
          <t>EP01／EP10</t>
        </is>
      </c>
      <c r="E52" s="8" t="inlineStr">
        <is>
          <t>部分已做</t>
        </is>
      </c>
      <c r="F52" s="4" t="inlineStr">
        <is>
          <t>EP01 用過練習題 vs 期末考的比喻</t>
        </is>
      </c>
      <c r="G52" s="4" t="inlineStr">
        <is>
          <t>EP10</t>
        </is>
      </c>
      <c r="H52" s="4" t="n">
        <v>3</v>
      </c>
    </row>
    <row r="53">
      <c r="A53" s="4" t="inlineStr">
        <is>
          <t>PART03</t>
        </is>
      </c>
      <c r="B53" s="4" t="inlineStr">
        <is>
          <t>p10–16</t>
        </is>
      </c>
      <c r="C53" s="4" t="inlineStr">
        <is>
          <t>混淆矩陣、分類錯誤率與指標</t>
        </is>
      </c>
      <c r="D53" s="4" t="inlineStr">
        <is>
          <t>EP11</t>
        </is>
      </c>
      <c r="E53" s="5" t="inlineStr">
        <is>
          <t>未做</t>
        </is>
      </c>
      <c r="F53" s="4" t="inlineStr"/>
      <c r="G53" s="4" t="inlineStr">
        <is>
          <t>EP11</t>
        </is>
      </c>
      <c r="H53" s="4" t="n">
        <v>7</v>
      </c>
    </row>
    <row r="54">
      <c r="A54" s="4" t="inlineStr">
        <is>
          <t>PART03</t>
        </is>
      </c>
      <c r="B54" s="4" t="inlineStr">
        <is>
          <t>p17–28</t>
        </is>
      </c>
      <c r="C54" s="4" t="inlineStr">
        <is>
          <t>ROC 曲線、門檻、建立 ROC、AUC</t>
        </is>
      </c>
      <c r="D54" s="4" t="inlineStr">
        <is>
          <t>EP12</t>
        </is>
      </c>
      <c r="E54" s="5" t="inlineStr">
        <is>
          <t>未做</t>
        </is>
      </c>
      <c r="F54" s="4" t="inlineStr"/>
      <c r="G54" s="4" t="inlineStr">
        <is>
          <t>EP12</t>
        </is>
      </c>
      <c r="H54" s="4" t="n">
        <v>12</v>
      </c>
    </row>
    <row r="55">
      <c r="A55" s="4" t="inlineStr">
        <is>
          <t>PART03</t>
        </is>
      </c>
      <c r="B55" s="4" t="inlineStr">
        <is>
          <t>p29–36</t>
        </is>
      </c>
      <c r="C55" s="4" t="inlineStr">
        <is>
          <t>門檻選擇：Youden、最近點</t>
        </is>
      </c>
      <c r="D55" s="4" t="inlineStr">
        <is>
          <t>EP12</t>
        </is>
      </c>
      <c r="E55" s="5" t="inlineStr">
        <is>
          <t>未做</t>
        </is>
      </c>
      <c r="F55" s="4" t="inlineStr"/>
      <c r="G55" s="4" t="inlineStr">
        <is>
          <t>EP12</t>
        </is>
      </c>
      <c r="H55" s="4" t="n">
        <v>8</v>
      </c>
    </row>
    <row r="56">
      <c r="A56" s="4" t="inlineStr">
        <is>
          <t>PART03</t>
        </is>
      </c>
      <c r="B56" s="4" t="inlineStr">
        <is>
          <t>p37</t>
        </is>
      </c>
      <c r="C56" s="4" t="inlineStr">
        <is>
          <t>混淆矩陣練習題</t>
        </is>
      </c>
      <c r="D56" s="4" t="inlineStr">
        <is>
          <t>EP11</t>
        </is>
      </c>
      <c r="E56" s="5" t="inlineStr">
        <is>
          <t>未做</t>
        </is>
      </c>
      <c r="F56" s="4" t="inlineStr"/>
      <c r="G56" s="4" t="inlineStr">
        <is>
          <t>EP11</t>
        </is>
      </c>
      <c r="H56" s="4" t="n">
        <v>1</v>
      </c>
    </row>
    <row r="57">
      <c r="A57" s="4" t="inlineStr">
        <is>
          <t>PART03</t>
        </is>
      </c>
      <c r="B57" s="4" t="inlineStr">
        <is>
          <t>p38–43</t>
        </is>
      </c>
      <c r="C57" s="4" t="inlineStr">
        <is>
          <t>決策樹概念、分類器結構、例子</t>
        </is>
      </c>
      <c r="D57" s="4" t="inlineStr">
        <is>
          <t>EP13</t>
        </is>
      </c>
      <c r="E57" s="5" t="inlineStr">
        <is>
          <t>未做</t>
        </is>
      </c>
      <c r="F57" s="4" t="inlineStr">
        <is>
          <t>EP01 已用垃圾信小樹鋪梗</t>
        </is>
      </c>
      <c r="G57" s="4" t="inlineStr">
        <is>
          <t>EP13</t>
        </is>
      </c>
      <c r="H57" s="4" t="n">
        <v>6</v>
      </c>
    </row>
    <row r="58">
      <c r="A58" s="4" t="inlineStr">
        <is>
          <t>PART03</t>
        </is>
      </c>
      <c r="B58" s="4" t="inlineStr">
        <is>
          <t>p44–49</t>
        </is>
      </c>
      <c r="C58" s="4" t="inlineStr">
        <is>
          <t>把模型套用到測試資料</t>
        </is>
      </c>
      <c r="D58" s="4" t="inlineStr">
        <is>
          <t>EP13</t>
        </is>
      </c>
      <c r="E58" s="5" t="inlineStr">
        <is>
          <t>未做</t>
        </is>
      </c>
      <c r="F58" s="4" t="inlineStr"/>
      <c r="G58" s="4" t="inlineStr">
        <is>
          <t>EP13</t>
        </is>
      </c>
      <c r="H58" s="4" t="n">
        <v>6</v>
      </c>
    </row>
    <row r="59">
      <c r="A59" s="4" t="inlineStr">
        <is>
          <t>PART03</t>
        </is>
      </c>
      <c r="B59" s="4" t="inlineStr">
        <is>
          <t>p50–57</t>
        </is>
      </c>
      <c r="C59" s="4" t="inlineStr">
        <is>
          <t>Hunt's 演算法</t>
        </is>
      </c>
      <c r="D59" s="4" t="inlineStr">
        <is>
          <t>EP14</t>
        </is>
      </c>
      <c r="E59" s="5" t="inlineStr">
        <is>
          <t>未做</t>
        </is>
      </c>
      <c r="F59" s="4" t="inlineStr"/>
      <c r="G59" s="4" t="inlineStr">
        <is>
          <t>EP14</t>
        </is>
      </c>
      <c r="H59" s="4" t="n">
        <v>8</v>
      </c>
    </row>
    <row r="60">
      <c r="A60" s="4" t="inlineStr">
        <is>
          <t>PART03</t>
        </is>
      </c>
      <c r="B60" s="4" t="inlineStr">
        <is>
          <t>p58–59</t>
        </is>
      </c>
      <c r="C60" s="4" t="inlineStr">
        <is>
          <t>作業一 Hunt's algorithm</t>
        </is>
      </c>
      <c r="D60" s="4" t="inlineStr">
        <is>
          <t>EP14</t>
        </is>
      </c>
      <c r="E60" s="5" t="inlineStr">
        <is>
          <t>未做</t>
        </is>
      </c>
      <c r="F60" s="4" t="inlineStr">
        <is>
          <t>A1 11/4 截止</t>
        </is>
      </c>
      <c r="G60" s="4" t="inlineStr">
        <is>
          <t>EP14</t>
        </is>
      </c>
      <c r="H60" s="4" t="n">
        <v>2</v>
      </c>
    </row>
    <row r="61">
      <c r="A61" s="4" t="inlineStr">
        <is>
          <t>PART03</t>
        </is>
      </c>
      <c r="B61" s="4" t="inlineStr">
        <is>
          <t>p60–67</t>
        </is>
      </c>
      <c r="C61" s="4" t="inlineStr">
        <is>
          <t>決策樹的設計議題、屬性測試條件</t>
        </is>
      </c>
      <c r="D61" s="4" t="inlineStr">
        <is>
          <t>EP15</t>
        </is>
      </c>
      <c r="E61" s="5" t="inlineStr">
        <is>
          <t>未做</t>
        </is>
      </c>
      <c r="F61" s="4" t="inlineStr"/>
      <c r="G61" s="4" t="inlineStr">
        <is>
          <t>EP15</t>
        </is>
      </c>
      <c r="H61" s="4" t="n">
        <v>8</v>
      </c>
    </row>
    <row r="62">
      <c r="A62" s="4" t="inlineStr">
        <is>
          <t>PART03</t>
        </is>
      </c>
      <c r="B62" s="4" t="inlineStr">
        <is>
          <t>p68–77</t>
        </is>
      </c>
      <c r="C62" s="4" t="inlineStr">
        <is>
          <t>分裂選擇指標、不純度（Entropy／Gini／Error）、子節點加權</t>
        </is>
      </c>
      <c r="D62" s="4" t="inlineStr">
        <is>
          <t>EP15</t>
        </is>
      </c>
      <c r="E62" s="5" t="inlineStr">
        <is>
          <t>未做</t>
        </is>
      </c>
      <c r="F62" s="4" t="inlineStr"/>
      <c r="G62" s="4" t="inlineStr">
        <is>
          <t>EP15</t>
        </is>
      </c>
      <c r="H62" s="4" t="n">
        <v>10</v>
      </c>
    </row>
    <row r="63">
      <c r="A63" s="4" t="inlineStr">
        <is>
          <t>PART03</t>
        </is>
      </c>
      <c r="B63" s="4" t="inlineStr">
        <is>
          <t>p78–85</t>
        </is>
      </c>
      <c r="C63" s="4" t="inlineStr">
        <is>
          <t>最佳測試條件、資訊增益、Gini 二元分裂</t>
        </is>
      </c>
      <c r="D63" s="4" t="inlineStr">
        <is>
          <t>EP15</t>
        </is>
      </c>
      <c r="E63" s="5" t="inlineStr">
        <is>
          <t>未做</t>
        </is>
      </c>
      <c r="F63" s="4" t="inlineStr"/>
      <c r="G63" s="4" t="inlineStr">
        <is>
          <t>EP15</t>
        </is>
      </c>
      <c r="H63" s="4" t="n">
        <v>8</v>
      </c>
    </row>
    <row r="64">
      <c r="A64" s="4" t="inlineStr">
        <is>
          <t>PART03</t>
        </is>
      </c>
      <c r="B64" s="4" t="inlineStr">
        <is>
          <t>p86–92</t>
        </is>
      </c>
      <c r="C64" s="4" t="inlineStr">
        <is>
          <t>連續屬性分裂（Gini 找切點）</t>
        </is>
      </c>
      <c r="D64" s="4" t="inlineStr">
        <is>
          <t>EP15</t>
        </is>
      </c>
      <c r="E64" s="5" t="inlineStr">
        <is>
          <t>未做</t>
        </is>
      </c>
      <c r="F64" s="4" t="inlineStr"/>
      <c r="G64" s="4" t="inlineStr">
        <is>
          <t>EP15</t>
        </is>
      </c>
      <c r="H64" s="4" t="n">
        <v>7</v>
      </c>
    </row>
    <row r="65">
      <c r="A65" s="4" t="inlineStr">
        <is>
          <t>PART03</t>
        </is>
      </c>
      <c r="B65" s="4" t="inlineStr">
        <is>
          <t>p93–97</t>
        </is>
      </c>
      <c r="C65" s="4" t="inlineStr">
        <is>
          <t>Gain Ratio</t>
        </is>
      </c>
      <c r="D65" s="4" t="inlineStr">
        <is>
          <t>EP15</t>
        </is>
      </c>
      <c r="E65" s="5" t="inlineStr">
        <is>
          <t>未做</t>
        </is>
      </c>
      <c r="F65" s="4" t="inlineStr"/>
      <c r="G65" s="4" t="inlineStr">
        <is>
          <t>EP15</t>
        </is>
      </c>
      <c r="H65" s="4" t="n">
        <v>5</v>
      </c>
    </row>
    <row r="66">
      <c r="A66" s="4" t="inlineStr">
        <is>
          <t>PART03</t>
        </is>
      </c>
      <c r="B66" s="4" t="inlineStr">
        <is>
          <t>p98–106</t>
        </is>
      </c>
      <c r="C66" s="4" t="inlineStr">
        <is>
          <t>決策樹演算法流程（虛擬碼）</t>
        </is>
      </c>
      <c r="D66" s="4" t="inlineStr">
        <is>
          <t>EP16</t>
        </is>
      </c>
      <c r="E66" s="5" t="inlineStr">
        <is>
          <t>未做</t>
        </is>
      </c>
      <c r="F66" s="4" t="inlineStr"/>
      <c r="G66" s="4" t="inlineStr">
        <is>
          <t>EP16</t>
        </is>
      </c>
      <c r="H66" s="4" t="n">
        <v>9</v>
      </c>
    </row>
    <row r="67">
      <c r="A67" s="4" t="inlineStr">
        <is>
          <t>PART03</t>
        </is>
      </c>
      <c r="B67" s="4" t="inlineStr">
        <is>
          <t>p107–108</t>
        </is>
      </c>
      <c r="C67" s="4" t="inlineStr">
        <is>
          <t>迴歸樹</t>
        </is>
      </c>
      <c r="D67" s="4" t="inlineStr">
        <is>
          <t>EP16</t>
        </is>
      </c>
      <c r="E67" s="5" t="inlineStr">
        <is>
          <t>未做</t>
        </is>
      </c>
      <c r="F67" s="4" t="inlineStr"/>
      <c r="G67" s="4" t="inlineStr">
        <is>
          <t>EP16</t>
        </is>
      </c>
      <c r="H67" s="4" t="n">
        <v>2</v>
      </c>
    </row>
    <row r="68">
      <c r="A68" s="4" t="inlineStr">
        <is>
          <t>PART03</t>
        </is>
      </c>
      <c r="B68" s="4" t="inlineStr">
        <is>
          <t>p109–126</t>
        </is>
      </c>
      <c r="C68" s="4" t="inlineStr">
        <is>
          <t>決策樹特性：適用性、表達力、效率、缺值、交互作用、無關／冗餘屬性、直角切割、不純度選擇</t>
        </is>
      </c>
      <c r="D68" s="4" t="inlineStr">
        <is>
          <t>EP16</t>
        </is>
      </c>
      <c r="E68" s="5" t="inlineStr">
        <is>
          <t>未做</t>
        </is>
      </c>
      <c r="F68" s="4" t="inlineStr"/>
      <c r="G68" s="4" t="inlineStr">
        <is>
          <t>EP16</t>
        </is>
      </c>
      <c r="H68" s="4" t="n">
        <v>18</v>
      </c>
    </row>
    <row r="69">
      <c r="A69" s="4" t="inlineStr">
        <is>
          <t>PART03</t>
        </is>
      </c>
      <c r="B69" s="4" t="inlineStr">
        <is>
          <t>p127–128</t>
        </is>
      </c>
      <c r="C69" s="4" t="inlineStr">
        <is>
          <t>決策樹優缺點</t>
        </is>
      </c>
      <c r="D69" s="4" t="inlineStr">
        <is>
          <t>EP16</t>
        </is>
      </c>
      <c r="E69" s="5" t="inlineStr">
        <is>
          <t>未做</t>
        </is>
      </c>
      <c r="F69" s="4" t="inlineStr"/>
      <c r="G69" s="4" t="inlineStr">
        <is>
          <t>EP16</t>
        </is>
      </c>
      <c r="H69" s="4" t="n">
        <v>2</v>
      </c>
    </row>
    <row r="70">
      <c r="A70" s="4" t="inlineStr">
        <is>
          <t>PART03</t>
        </is>
      </c>
      <c r="B70" s="4" t="inlineStr">
        <is>
          <t>p129–134</t>
        </is>
      </c>
      <c r="C70" s="4" t="inlineStr">
        <is>
          <t>常見決策樹方法、C4.5、CART</t>
        </is>
      </c>
      <c r="D70" s="4" t="inlineStr">
        <is>
          <t>EP16</t>
        </is>
      </c>
      <c r="E70" s="5" t="inlineStr">
        <is>
          <t>未做</t>
        </is>
      </c>
      <c r="F70" s="4" t="inlineStr"/>
      <c r="G70" s="4" t="inlineStr">
        <is>
          <t>EP16</t>
        </is>
      </c>
      <c r="H70" s="4" t="n">
        <v>6</v>
      </c>
    </row>
    <row r="71">
      <c r="A71" s="4" t="inlineStr">
        <is>
          <t>PART03</t>
        </is>
      </c>
      <c r="B71" s="4" t="inlineStr">
        <is>
          <t>p135–136</t>
        </is>
      </c>
      <c r="C71" s="4" t="inlineStr">
        <is>
          <t>作業二：用不同資訊量測做 Hunt's</t>
        </is>
      </c>
      <c r="D71" s="4" t="inlineStr">
        <is>
          <t>EP15／EP16</t>
        </is>
      </c>
      <c r="E71" s="5" t="inlineStr">
        <is>
          <t>未做</t>
        </is>
      </c>
      <c r="F71" s="4" t="inlineStr">
        <is>
          <t>A2 11/11 截止</t>
        </is>
      </c>
      <c r="G71" s="4" t="inlineStr">
        <is>
          <t>EP15</t>
        </is>
      </c>
      <c r="H71" s="4" t="n">
        <v>2</v>
      </c>
    </row>
    <row r="72">
      <c r="A72" s="4" t="inlineStr">
        <is>
          <t>PART03</t>
        </is>
      </c>
      <c r="B72" s="4" t="inlineStr">
        <is>
          <t>p137–154</t>
        </is>
      </c>
      <c r="C72" s="4" t="inlineStr">
        <is>
          <t>欠擬合與過擬合</t>
        </is>
      </c>
      <c r="D72" s="4" t="inlineStr">
        <is>
          <t>EP17</t>
        </is>
      </c>
      <c r="E72" s="5" t="inlineStr">
        <is>
          <t>未做</t>
        </is>
      </c>
      <c r="F72" s="4" t="inlineStr"/>
      <c r="G72" s="4" t="inlineStr">
        <is>
          <t>EP17</t>
        </is>
      </c>
      <c r="H72" s="4" t="n">
        <v>18</v>
      </c>
    </row>
    <row r="73">
      <c r="A73" s="4" t="inlineStr">
        <is>
          <t>PART03</t>
        </is>
      </c>
      <c r="B73" s="4" t="inlineStr">
        <is>
          <t>p155–158</t>
        </is>
      </c>
      <c r="C73" s="4" t="inlineStr">
        <is>
          <t>模型訓練、參數 vs 超參數</t>
        </is>
      </c>
      <c r="D73" s="4" t="inlineStr">
        <is>
          <t>EP17</t>
        </is>
      </c>
      <c r="E73" s="5" t="inlineStr">
        <is>
          <t>未做</t>
        </is>
      </c>
      <c r="F73" s="4" t="inlineStr"/>
      <c r="G73" s="4" t="inlineStr">
        <is>
          <t>EP17</t>
        </is>
      </c>
      <c r="H73" s="4" t="n">
        <v>4</v>
      </c>
    </row>
    <row r="74">
      <c r="A74" s="4" t="inlineStr">
        <is>
          <t>PART03</t>
        </is>
      </c>
      <c r="B74" s="4" t="inlineStr">
        <is>
          <t>p159–167</t>
        </is>
      </c>
      <c r="C74" s="4" t="inlineStr">
        <is>
          <t>模型評估、超參數調整、最終測試</t>
        </is>
      </c>
      <c r="D74" s="4" t="inlineStr">
        <is>
          <t>EP17</t>
        </is>
      </c>
      <c r="E74" s="5" t="inlineStr">
        <is>
          <t>未做</t>
        </is>
      </c>
      <c r="F74" s="4" t="inlineStr"/>
      <c r="G74" s="4" t="inlineStr">
        <is>
          <t>EP17</t>
        </is>
      </c>
      <c r="H74" s="4" t="n">
        <v>9</v>
      </c>
    </row>
    <row r="75">
      <c r="A75" s="4" t="inlineStr">
        <is>
          <t>PART03</t>
        </is>
      </c>
      <c r="B75" s="4" t="inlineStr">
        <is>
          <t>p168–170</t>
        </is>
      </c>
      <c r="C75" s="4" t="inlineStr">
        <is>
          <t>驗證誤差與選擇偏誤、Holdout</t>
        </is>
      </c>
      <c r="D75" s="4" t="inlineStr">
        <is>
          <t>EP18</t>
        </is>
      </c>
      <c r="E75" s="5" t="inlineStr">
        <is>
          <t>未做</t>
        </is>
      </c>
      <c r="F75" s="4" t="inlineStr"/>
      <c r="G75" s="4" t="inlineStr">
        <is>
          <t>EP18</t>
        </is>
      </c>
      <c r="H75" s="4" t="n">
        <v>3</v>
      </c>
    </row>
    <row r="76">
      <c r="A76" s="4" t="inlineStr">
        <is>
          <t>PART03</t>
        </is>
      </c>
      <c r="B76" s="4" t="inlineStr">
        <is>
          <t>p171–176</t>
        </is>
      </c>
      <c r="C76" s="4" t="inlineStr">
        <is>
          <t>K-fold、重複與分層 CV、CV 選超參數</t>
        </is>
      </c>
      <c r="D76" s="4" t="inlineStr">
        <is>
          <t>EP18</t>
        </is>
      </c>
      <c r="E76" s="5" t="inlineStr">
        <is>
          <t>未做</t>
        </is>
      </c>
      <c r="F76" s="4" t="inlineStr"/>
      <c r="G76" s="4" t="inlineStr">
        <is>
          <t>EP18</t>
        </is>
      </c>
      <c r="H76" s="4" t="n">
        <v>6</v>
      </c>
    </row>
    <row r="77">
      <c r="A77" s="4" t="inlineStr">
        <is>
          <t>PART03</t>
        </is>
      </c>
      <c r="B77" s="4" t="inlineStr">
        <is>
          <t>p177–183</t>
        </is>
      </c>
      <c r="C77" s="4" t="inlineStr">
        <is>
          <t>Nested CV、最終模型、Public／Private test</t>
        </is>
      </c>
      <c r="D77" s="4" t="inlineStr">
        <is>
          <t>EP18</t>
        </is>
      </c>
      <c r="E77" s="5" t="inlineStr">
        <is>
          <t>未做</t>
        </is>
      </c>
      <c r="F77" s="4" t="inlineStr"/>
      <c r="G77" s="4" t="inlineStr">
        <is>
          <t>EP18</t>
        </is>
      </c>
      <c r="H77" s="4" t="n">
        <v>7</v>
      </c>
    </row>
    <row r="78">
      <c r="A78" s="4" t="inlineStr">
        <is>
          <t>PART03</t>
        </is>
      </c>
      <c r="B78" s="4" t="inlineStr">
        <is>
          <t>p184–189</t>
        </is>
      </c>
      <c r="C78" s="4" t="inlineStr">
        <is>
          <t>交叉驗證下的 ROC–AUC</t>
        </is>
      </c>
      <c r="D78" s="4" t="inlineStr">
        <is>
          <t>EP18</t>
        </is>
      </c>
      <c r="E78" s="5" t="inlineStr">
        <is>
          <t>未做</t>
        </is>
      </c>
      <c r="F78" s="4" t="inlineStr"/>
      <c r="G78" s="4" t="inlineStr">
        <is>
          <t>EP18</t>
        </is>
      </c>
      <c r="H78" s="4" t="n">
        <v>6</v>
      </c>
    </row>
    <row r="79">
      <c r="A79" s="4" t="inlineStr">
        <is>
          <t>PART03</t>
        </is>
      </c>
      <c r="B79" s="4" t="inlineStr">
        <is>
          <t>p190–196</t>
        </is>
      </c>
      <c r="C79" s="4" t="inlineStr">
        <is>
          <t>模型複雜度與泛化、訓練／驗證／測試的角色</t>
        </is>
      </c>
      <c r="D79" s="4" t="inlineStr">
        <is>
          <t>EP19</t>
        </is>
      </c>
      <c r="E79" s="5" t="inlineStr">
        <is>
          <t>未做</t>
        </is>
      </c>
      <c r="F79" s="4" t="inlineStr"/>
      <c r="G79" s="4" t="inlineStr">
        <is>
          <t>EP19</t>
        </is>
      </c>
      <c r="H79" s="4" t="n">
        <v>7</v>
      </c>
    </row>
    <row r="80">
      <c r="A80" s="4" t="inlineStr">
        <is>
          <t>PART03</t>
        </is>
      </c>
      <c r="B80" s="4" t="inlineStr">
        <is>
          <t>p197–207</t>
        </is>
      </c>
      <c r="C80" s="4" t="inlineStr">
        <is>
          <t>Occam's Razor、複雜度懲罰、統計界限</t>
        </is>
      </c>
      <c r="D80" s="4" t="inlineStr">
        <is>
          <t>EP19</t>
        </is>
      </c>
      <c r="E80" s="5" t="inlineStr">
        <is>
          <t>未做</t>
        </is>
      </c>
      <c r="F80" s="4" t="inlineStr"/>
      <c r="G80" s="4" t="inlineStr">
        <is>
          <t>EP19</t>
        </is>
      </c>
      <c r="H80" s="4" t="n">
        <v>11</v>
      </c>
    </row>
    <row r="81">
      <c r="A81" s="4" t="inlineStr">
        <is>
          <t>PART03</t>
        </is>
      </c>
      <c r="B81" s="4" t="inlineStr">
        <is>
          <t>p208–213</t>
        </is>
      </c>
      <c r="C81" s="4" t="inlineStr">
        <is>
          <t>決策樹超參數、預剪枝</t>
        </is>
      </c>
      <c r="D81" s="4" t="inlineStr">
        <is>
          <t>EP19</t>
        </is>
      </c>
      <c r="E81" s="5" t="inlineStr">
        <is>
          <t>未做</t>
        </is>
      </c>
      <c r="F81" s="4" t="inlineStr"/>
      <c r="G81" s="4" t="inlineStr">
        <is>
          <t>EP19</t>
        </is>
      </c>
      <c r="H81" s="4" t="n">
        <v>6</v>
      </c>
    </row>
    <row r="82">
      <c r="A82" s="4" t="inlineStr">
        <is>
          <t>PART03</t>
        </is>
      </c>
      <c r="B82" s="4" t="inlineStr">
        <is>
          <t>p214–232</t>
        </is>
      </c>
      <c r="C82" s="4" t="inlineStr">
        <is>
          <t>後剪枝：REP、PEP、CCP</t>
        </is>
      </c>
      <c r="D82" s="4" t="inlineStr">
        <is>
          <t>EP19</t>
        </is>
      </c>
      <c r="E82" s="5" t="inlineStr">
        <is>
          <t>未做</t>
        </is>
      </c>
      <c r="F82" s="4" t="inlineStr"/>
      <c r="G82" s="4" t="inlineStr">
        <is>
          <t>EP19</t>
        </is>
      </c>
      <c r="H82" s="4" t="n">
        <v>19</v>
      </c>
    </row>
    <row r="83">
      <c r="A83" s="4" t="inlineStr">
        <is>
          <t>PART03</t>
        </is>
      </c>
      <c r="B83" s="4" t="inlineStr">
        <is>
          <t>p233–234</t>
        </is>
      </c>
      <c r="C83" s="4" t="inlineStr">
        <is>
          <t>更多建模議題：Bias–Variance、類別不平衡、SMOTE</t>
        </is>
      </c>
      <c r="D83" s="4" t="inlineStr">
        <is>
          <t>EP19</t>
        </is>
      </c>
      <c r="E83" s="5" t="inlineStr">
        <is>
          <t>未做</t>
        </is>
      </c>
      <c r="F83" s="4" t="inlineStr">
        <is>
          <t>原規劃頁碼含在 EP19 範圍內，但概念清單沒列 → 已補進 EP19</t>
        </is>
      </c>
      <c r="G83" s="6" t="inlineStr">
        <is>
          <t>未涵蓋</t>
        </is>
      </c>
      <c r="H83" s="4" t="n">
        <v>2</v>
      </c>
    </row>
    <row r="84">
      <c r="A84" s="4" t="inlineStr">
        <is>
          <t>PART03</t>
        </is>
      </c>
      <c r="B84" s="4" t="inlineStr">
        <is>
          <t>p235–244</t>
        </is>
      </c>
      <c r="C84" s="4" t="inlineStr">
        <is>
          <t>作業三：CART × Titanic（EDA、前處理、超參數、holdout、報告）</t>
        </is>
      </c>
      <c r="D84" s="4" t="inlineStr">
        <is>
          <t>EP20</t>
        </is>
      </c>
      <c r="E84" s="5" t="inlineStr">
        <is>
          <t>未做</t>
        </is>
      </c>
      <c r="F84" s="4" t="inlineStr">
        <is>
          <t>A3 11/19</t>
        </is>
      </c>
      <c r="G84" s="4" t="inlineStr">
        <is>
          <t>EP20</t>
        </is>
      </c>
      <c r="H84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2026-10-30T00:45:06Z</dcterms:created>
  <dcterms:modified xmlns:dcterms="http://purl.org/dc/terms/" xmlns:xsi="http://www.w3.org/2001/XMLSchema-instance" xsi:type="dcterms:W3CDTF">2026-10-30T00:45:06Z</dcterms:modified>
</cp:coreProperties>
</file>